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fileSharing readOnlyRecommended="1"/>
  <workbookPr codeName="ЭтаКнига"/>
  <mc:AlternateContent xmlns:mc="http://schemas.openxmlformats.org/markup-compatibility/2006">
    <mc:Choice Requires="x15">
      <x15ac:absPath xmlns:x15ac="http://schemas.microsoft.com/office/spreadsheetml/2010/11/ac" url="D:\Projects\ПРОЕКТ-ЭКЗАМЕН (Широков Платон)\site\docs\"/>
    </mc:Choice>
  </mc:AlternateContent>
  <xr:revisionPtr revIDLastSave="0" documentId="8_{36CF4A1A-8AA1-4BA1-9708-1B885D64D1B4}" xr6:coauthVersionLast="47" xr6:coauthVersionMax="47" xr10:uidLastSave="{00000000-0000-0000-0000-000000000000}"/>
  <bookViews>
    <workbookView showHorizontalScroll="0" showVerticalScroll="0" xWindow="-120" yWindow="-120" windowWidth="29040" windowHeight="15720" xr2:uid="{00000000-000D-0000-FFFF-FFFF00000000}"/>
  </bookViews>
  <sheets>
    <sheet name="Лист1" sheetId="1" r:id="rId1"/>
    <sheet name="Лист2" sheetId="2" r:id="rId2"/>
    <sheet name="Лист3" sheetId="3" r:id="rId3"/>
    <sheet name="Лист4" sheetId="4" r:id="rId4"/>
  </sheets>
  <definedNames>
    <definedName name="_xleta.SHEET" hidden="1" xlm="1">#NAME?</definedName>
  </definedNames>
  <calcPr calcId="191029"/>
  <customWorkbookViews>
    <customWorkbookView name="123 - Личное представление" guid="{C6309BB7-B2E8-4642-A222-54A6C511AF08}" mergeInterval="0" personalView="1" maximized="1" showHorizontalScroll="0" showVerticalScroll="0" xWindow="-9" yWindow="-9" windowWidth="1938" windowHeight="1048" activeSheetId="2"/>
    <customWorkbookView name="student - Личное представление" guid="{92AC4692-C364-41C6-9E9D-A0DA6796DF3C}" mergeInterval="0" personalView="1" maximized="1" showHorizontalScroll="0" showVerticalScroll="0" xWindow="-8" yWindow="-8" windowWidth="1936" windowHeight="1056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3" l="1"/>
  <c r="E12" i="3" s="1"/>
  <c r="D11" i="3"/>
  <c r="E11" i="3" s="1"/>
  <c r="D10" i="3"/>
  <c r="E10" i="3" s="1"/>
  <c r="D9" i="3"/>
  <c r="E9" i="3" s="1"/>
  <c r="D8" i="3"/>
  <c r="D7" i="3"/>
  <c r="D6" i="3"/>
  <c r="D5" i="3"/>
  <c r="D4" i="3"/>
  <c r="D3" i="3"/>
  <c r="E4" i="4"/>
  <c r="H5" i="4" l="1"/>
  <c r="E6" i="3" l="1"/>
  <c r="E8" i="3"/>
  <c r="E7" i="3"/>
  <c r="E5" i="3"/>
  <c r="E4" i="3"/>
  <c r="E3" i="3"/>
  <c r="E13" i="3" l="1"/>
  <c r="I5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student</author>
  </authors>
  <commentList>
    <comment ref="O1" authorId="0" shapeId="0" xr:uid="{EE88983F-E85A-41A5-A322-3CEE85EA3240}">
      <text>
        <r>
          <rPr>
            <b/>
            <sz val="9"/>
            <color indexed="81"/>
            <rFont val="Tahoma"/>
            <family val="2"/>
            <charset val="204"/>
          </rPr>
          <t>Совокупность правил для проверки защиты</t>
        </r>
      </text>
    </comment>
    <comment ref="M2" authorId="0" shapeId="0" xr:uid="{BFAA5CDB-E909-48B3-AFDF-FD2EFA4390C7}">
      <text>
        <r>
          <rPr>
            <b/>
            <sz val="9"/>
            <color indexed="81"/>
            <rFont val="Tahoma"/>
            <family val="2"/>
            <charset val="204"/>
          </rPr>
          <t>Процесс формальной проверки и анализа безопасности</t>
        </r>
      </text>
    </comment>
    <comment ref="N4" authorId="0" shapeId="0" xr:uid="{85759DEC-B69A-40CC-9F63-848B09299A8A}">
      <text>
        <r>
          <rPr>
            <b/>
            <sz val="9"/>
            <color indexed="81"/>
            <rFont val="Tahoma"/>
            <family val="2"/>
            <charset val="204"/>
          </rPr>
          <t>Европейские критерии оценки безопасности информационных технологий (аббр.)</t>
        </r>
      </text>
    </comment>
    <comment ref="G5" authorId="0" shapeId="0" xr:uid="{8D9989C1-D245-49AB-B520-D965A81CA5FF}">
      <text>
        <r>
          <rPr>
            <b/>
            <sz val="9"/>
            <color indexed="81"/>
            <rFont val="Tahoma"/>
            <family val="2"/>
            <charset val="204"/>
          </rPr>
          <t>Уверенность в достижении целей безопасности</t>
        </r>
      </text>
    </comment>
    <comment ref="I5" authorId="0" shapeId="0" xr:uid="{53A13006-328E-4DDA-90A8-ED77B152420D}">
      <text>
        <r>
          <rPr>
            <b/>
            <sz val="9"/>
            <color indexed="81"/>
            <rFont val="Tahoma"/>
            <family val="2"/>
            <charset val="204"/>
          </rPr>
          <t>Продукт или система, подлежащие оценке</t>
        </r>
      </text>
    </comment>
    <comment ref="D8" authorId="0" shapeId="0" xr:uid="{4E826F3F-6FF6-4F6E-97F4-CAB66BBEBBF1}">
      <text>
        <r>
          <rPr>
            <b/>
            <sz val="9"/>
            <color indexed="81"/>
            <rFont val="Tahoma"/>
            <family val="2"/>
            <charset val="204"/>
          </rPr>
          <t>Подтверждение соответствия объекта требованиям ИТСЕК</t>
        </r>
      </text>
    </comment>
    <comment ref="A10" authorId="0" shapeId="0" xr:uid="{3FCA5696-433B-423E-B1A0-0F4107CC808D}">
      <text>
        <r>
          <rPr>
            <b/>
            <sz val="9"/>
            <color indexed="81"/>
            <rFont val="Tahoma"/>
            <family val="2"/>
            <charset val="204"/>
          </rPr>
          <t>Степень гарантии, обозначаемая в ИТСЕК от нуля до шести</t>
        </r>
      </text>
    </comment>
    <comment ref="K11" authorId="0" shapeId="0" xr:uid="{E7710567-54AE-4796-95E0-D5EEBF3C0605}">
      <text>
        <r>
          <rPr>
            <b/>
            <sz val="9"/>
            <color indexed="81"/>
            <rFont val="Tahoma"/>
            <family val="2"/>
            <charset val="204"/>
          </rPr>
          <t>Защита от несанкционированных изменений данных</t>
        </r>
      </text>
    </comment>
    <comment ref="B12" authorId="0" shapeId="0" xr:uid="{ECF25EF6-81F1-4E48-8FEA-C8F66C050B57}">
      <text>
        <r>
          <rPr>
            <b/>
            <sz val="9"/>
            <color indexed="81"/>
            <rFont val="Tahoma"/>
            <family val="2"/>
            <charset val="204"/>
          </rPr>
          <t>Защита от несанкционированного раскрытия данных</t>
        </r>
      </text>
    </comment>
    <comment ref="F20" authorId="0" shapeId="0" xr:uid="{1ABD9359-9AC9-419C-B768-A4EB3A30701E}">
      <text>
        <r>
          <rPr>
            <b/>
            <sz val="9"/>
            <color indexed="81"/>
            <rFont val="Tahoma"/>
            <family val="2"/>
            <charset val="204"/>
          </rPr>
          <t>Категория функциональности или доверия в соответствии с ИТСЕК</t>
        </r>
      </text>
    </comment>
  </commentList>
</comments>
</file>

<file path=xl/sharedStrings.xml><?xml version="1.0" encoding="utf-8"?>
<sst xmlns="http://schemas.openxmlformats.org/spreadsheetml/2006/main" count="19" uniqueCount="18">
  <si>
    <t>Введите фамилию</t>
  </si>
  <si>
    <t>Введите имя</t>
  </si>
  <si>
    <t>Продолжить</t>
  </si>
  <si>
    <t>Ответы</t>
  </si>
  <si>
    <t>Ваши ответы</t>
  </si>
  <si>
    <t>Баллы</t>
  </si>
  <si>
    <t>объект</t>
  </si>
  <si>
    <t>критерии</t>
  </si>
  <si>
    <t>оценка</t>
  </si>
  <si>
    <t>итсек</t>
  </si>
  <si>
    <t>гарантия</t>
  </si>
  <si>
    <t>сертификация</t>
  </si>
  <si>
    <t>уровень</t>
  </si>
  <si>
    <t>конфиденциальность</t>
  </si>
  <si>
    <t>целостность</t>
  </si>
  <si>
    <t>класс</t>
  </si>
  <si>
    <t>Результат:</t>
  </si>
  <si>
    <t>Сделал кроссворд: Широков Платон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</si>
</sst>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charset val="204"/>
      <scheme val="minor"/>
    </font>
    <font>
      <sz val="20"/>
      <color theme="0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4"/>
      <color theme="0"/>
      <name val="Arial"/>
      <family val="2"/>
      <charset val="204"/>
    </font>
    <font>
      <b/>
      <sz val="14"/>
      <color theme="0"/>
      <name val="Arial"/>
      <family val="2"/>
      <charset val="204"/>
    </font>
    <font>
      <sz val="14"/>
      <color rgb="FF2BA973"/>
      <name val="Arial"/>
      <family val="2"/>
      <charset val="204"/>
    </font>
    <font>
      <b/>
      <sz val="9"/>
      <color indexed="81"/>
      <name val="Tahoma"/>
      <family val="2"/>
      <charset val="204"/>
    </font>
    <font>
      <sz val="20"/>
      <name val="Arial"/>
      <family val="2"/>
      <charset val="204"/>
    </font>
    <font>
      <b/>
      <sz val="20"/>
      <name val="Arial"/>
      <family val="2"/>
      <charset val="204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80008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6">
    <xf numFmtId="0" fontId="0" fillId="0" borderId="0" xfId="0"/>
    <xf numFmtId="0" fontId="7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1" fillId="2" borderId="0" xfId="1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3" fillId="2" borderId="0" xfId="0" applyFont="1" applyFill="1"/>
    <xf numFmtId="0" fontId="4" fillId="2" borderId="3" xfId="0" applyFont="1" applyFill="1" applyBorder="1"/>
    <xf numFmtId="0" fontId="4" fillId="2" borderId="3" xfId="0" applyFont="1" applyFill="1" applyBorder="1" applyAlignment="1">
      <alignment horizontal="center" vertical="center"/>
    </xf>
    <xf numFmtId="0" fontId="3" fillId="2" borderId="3" xfId="0" applyFont="1" applyFill="1" applyBorder="1"/>
    <xf numFmtId="0" fontId="3" fillId="2" borderId="3" xfId="0" applyFont="1" applyFill="1" applyBorder="1" applyAlignment="1">
      <alignment horizontal="center" vertical="center"/>
    </xf>
    <xf numFmtId="0" fontId="5" fillId="2" borderId="0" xfId="0" applyFont="1" applyFill="1"/>
    <xf numFmtId="0" fontId="1" fillId="2" borderId="0" xfId="0" applyFont="1" applyFill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1" fillId="2" borderId="0" xfId="0" applyFont="1" applyFill="1"/>
    <xf numFmtId="0" fontId="1" fillId="2" borderId="3" xfId="0" applyFont="1" applyFill="1" applyBorder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colors>
    <mruColors>
      <color rgb="FF800080"/>
      <color rgb="FF23895D"/>
      <color rgb="FF2BA9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8</xdr:row>
          <xdr:rowOff>114300</xdr:rowOff>
        </xdr:from>
        <xdr:to>
          <xdr:col>8</xdr:col>
          <xdr:colOff>704850</xdr:colOff>
          <xdr:row>11</xdr:row>
          <xdr:rowOff>85725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Начать заново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Теплый синий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4:U18"/>
  <sheetViews>
    <sheetView tabSelected="1" workbookViewId="0">
      <selection activeCell="L13" sqref="L13"/>
    </sheetView>
  </sheetViews>
  <sheetFormatPr defaultColWidth="9.140625" defaultRowHeight="25.5" x14ac:dyDescent="0.25"/>
  <cols>
    <col min="1" max="7" width="9.140625" style="2"/>
    <col min="8" max="11" width="9.140625" style="2" customWidth="1"/>
    <col min="12" max="13" width="9.140625" style="2"/>
    <col min="14" max="14" width="9.140625" style="2" customWidth="1"/>
    <col min="15" max="23" width="9.140625" style="2"/>
    <col min="24" max="24" width="24.85546875" style="2" customWidth="1"/>
    <col min="25" max="16384" width="9.140625" style="2"/>
  </cols>
  <sheetData>
    <row r="4" spans="6:21" x14ac:dyDescent="0.25">
      <c r="J4" s="2" t="s">
        <v>17</v>
      </c>
    </row>
    <row r="6" spans="6:21" x14ac:dyDescent="0.25">
      <c r="F6" s="14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6"/>
    </row>
    <row r="7" spans="6:21" x14ac:dyDescent="0.25">
      <c r="F7" s="17"/>
      <c r="U7" s="18"/>
    </row>
    <row r="8" spans="6:21" x14ac:dyDescent="0.25">
      <c r="F8" s="19" t="s">
        <v>0</v>
      </c>
      <c r="G8" s="20"/>
      <c r="H8" s="20"/>
      <c r="I8" s="20"/>
      <c r="J8" s="20"/>
      <c r="K8" s="21"/>
      <c r="L8" s="21"/>
      <c r="M8" s="21"/>
      <c r="N8" s="21"/>
      <c r="O8" s="21"/>
      <c r="P8" s="21"/>
      <c r="R8" s="8" t="s">
        <v>2</v>
      </c>
      <c r="S8" s="8"/>
      <c r="T8" s="8"/>
      <c r="U8" s="18"/>
    </row>
    <row r="9" spans="6:21" x14ac:dyDescent="0.25">
      <c r="F9" s="19" t="s">
        <v>1</v>
      </c>
      <c r="G9" s="20"/>
      <c r="H9" s="20"/>
      <c r="I9" s="20"/>
      <c r="J9" s="20"/>
      <c r="K9" s="22"/>
      <c r="L9" s="22"/>
      <c r="M9" s="22"/>
      <c r="N9" s="22"/>
      <c r="O9" s="22"/>
      <c r="P9" s="22"/>
      <c r="R9" s="8"/>
      <c r="S9" s="8"/>
      <c r="T9" s="8"/>
      <c r="U9" s="18"/>
    </row>
    <row r="10" spans="6:21" x14ac:dyDescent="0.25">
      <c r="F10" s="17"/>
      <c r="U10" s="18"/>
    </row>
    <row r="11" spans="6:21" x14ac:dyDescent="0.25">
      <c r="F11" s="23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5"/>
    </row>
    <row r="17" spans="2:4" x14ac:dyDescent="0.25">
      <c r="B17" s="20"/>
      <c r="C17" s="20"/>
      <c r="D17" s="20"/>
    </row>
    <row r="18" spans="2:4" x14ac:dyDescent="0.25">
      <c r="B18" s="20"/>
      <c r="C18" s="20"/>
      <c r="D18" s="20"/>
    </row>
  </sheetData>
  <customSheetViews>
    <customSheetView guid="{C6309BB7-B2E8-4642-A222-54A6C511AF08}">
      <selection activeCell="R8" sqref="R8:T9"/>
      <pageMargins left="0.7" right="0.7" top="0.75" bottom="0.75" header="0.3" footer="0.3"/>
      <pageSetup paperSize="9" orientation="portrait" r:id="rId1"/>
    </customSheetView>
    <customSheetView guid="{92AC4692-C364-41C6-9E9D-A0DA6796DF3C}">
      <selection activeCell="R8" sqref="R8:T9"/>
      <pageMargins left="0.7" right="0.7" top="0.75" bottom="0.75" header="0.3" footer="0.3"/>
      <pageSetup paperSize="9" orientation="portrait" r:id="rId2"/>
    </customSheetView>
  </customSheetViews>
  <mergeCells count="7">
    <mergeCell ref="B17:D17"/>
    <mergeCell ref="B18:D18"/>
    <mergeCell ref="R8:T9"/>
    <mergeCell ref="K8:P8"/>
    <mergeCell ref="K9:P9"/>
    <mergeCell ref="F8:J8"/>
    <mergeCell ref="F9:J9"/>
  </mergeCells>
  <hyperlinks>
    <hyperlink ref="R8:T9" location="Лист2!A1" display="Лист2!A1" xr:uid="{00000000-0004-0000-0000-000000000000}"/>
  </hyperlinks>
  <pageMargins left="0.7" right="0.7" top="0.75" bottom="0.75" header="0.3" footer="0.3"/>
  <pageSetup paperSize="9"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AK22"/>
  <sheetViews>
    <sheetView zoomScaleNormal="100" workbookViewId="0">
      <selection activeCell="R5" sqref="R5"/>
    </sheetView>
  </sheetViews>
  <sheetFormatPr defaultColWidth="5.42578125" defaultRowHeight="22.5" customHeight="1" x14ac:dyDescent="0.25"/>
  <cols>
    <col min="1" max="5" width="5.42578125" style="1"/>
    <col min="6" max="6" width="5.85546875" style="1" bestFit="1" customWidth="1"/>
    <col min="7" max="16384" width="5.42578125" style="1"/>
  </cols>
  <sheetData>
    <row r="1" spans="1:37" ht="22.5" customHeight="1" x14ac:dyDescent="0.25">
      <c r="O1" s="2">
        <v>1</v>
      </c>
    </row>
    <row r="2" spans="1:37" ht="22.5" customHeight="1" x14ac:dyDescent="0.25">
      <c r="M2" s="2">
        <v>2</v>
      </c>
      <c r="O2" s="3"/>
    </row>
    <row r="3" spans="1:37" ht="22.5" customHeight="1" x14ac:dyDescent="0.25">
      <c r="M3" s="3"/>
      <c r="O3" s="3"/>
    </row>
    <row r="4" spans="1:37" ht="22.5" customHeight="1" x14ac:dyDescent="0.25">
      <c r="M4" s="3"/>
      <c r="N4" s="2">
        <v>3</v>
      </c>
      <c r="O4" s="3"/>
      <c r="P4" s="3"/>
      <c r="Q4" s="3"/>
      <c r="R4" s="3"/>
      <c r="S4" s="3"/>
    </row>
    <row r="5" spans="1:37" ht="22.5" customHeight="1" x14ac:dyDescent="0.25">
      <c r="G5" s="2">
        <v>5</v>
      </c>
      <c r="I5" s="2">
        <v>4</v>
      </c>
      <c r="J5" s="3"/>
      <c r="K5" s="3"/>
      <c r="L5" s="3"/>
      <c r="M5" s="3"/>
      <c r="N5" s="3"/>
      <c r="O5" s="3"/>
    </row>
    <row r="6" spans="1:37" ht="22.5" customHeight="1" x14ac:dyDescent="0.25">
      <c r="G6" s="3"/>
      <c r="M6" s="3"/>
      <c r="O6" s="3"/>
      <c r="AC6" s="4"/>
      <c r="AD6" s="5"/>
      <c r="AE6" s="5"/>
      <c r="AF6" s="5"/>
      <c r="AG6" s="5"/>
      <c r="AH6" s="6"/>
    </row>
    <row r="7" spans="1:37" ht="22.5" customHeight="1" x14ac:dyDescent="0.25">
      <c r="G7" s="3"/>
      <c r="M7" s="3"/>
      <c r="O7" s="3"/>
      <c r="AC7" s="7"/>
      <c r="AD7" s="8" t="s">
        <v>2</v>
      </c>
      <c r="AE7" s="8"/>
      <c r="AF7" s="8"/>
      <c r="AG7" s="8"/>
      <c r="AH7" s="9"/>
    </row>
    <row r="8" spans="1:37" ht="22.5" customHeight="1" x14ac:dyDescent="0.25">
      <c r="D8" s="2">
        <v>6</v>
      </c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AC8" s="7"/>
      <c r="AD8" s="8"/>
      <c r="AE8" s="8"/>
      <c r="AF8" s="8"/>
      <c r="AG8" s="8"/>
      <c r="AH8" s="9"/>
    </row>
    <row r="9" spans="1:37" ht="22.5" customHeight="1" x14ac:dyDescent="0.25">
      <c r="G9" s="3"/>
      <c r="O9" s="3"/>
      <c r="AC9" s="10"/>
      <c r="AD9" s="11"/>
      <c r="AE9" s="11"/>
      <c r="AF9" s="11"/>
      <c r="AG9" s="11"/>
      <c r="AH9" s="12"/>
    </row>
    <row r="10" spans="1:37" ht="22.5" customHeight="1" x14ac:dyDescent="0.25">
      <c r="A10" s="2">
        <v>7</v>
      </c>
      <c r="B10" s="3"/>
      <c r="C10" s="3"/>
      <c r="D10" s="3"/>
      <c r="E10" s="3"/>
      <c r="F10" s="3"/>
      <c r="G10" s="3"/>
      <c r="H10" s="3"/>
    </row>
    <row r="11" spans="1:37" ht="22.5" customHeight="1" x14ac:dyDescent="0.25">
      <c r="G11" s="3"/>
      <c r="K11" s="2">
        <v>9</v>
      </c>
      <c r="V11" s="13"/>
    </row>
    <row r="12" spans="1:37" ht="22.5" customHeight="1" x14ac:dyDescent="0.25">
      <c r="B12" s="2">
        <v>8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V12" s="13"/>
    </row>
    <row r="13" spans="1:37" ht="22.5" customHeight="1" x14ac:dyDescent="0.25">
      <c r="G13" s="3"/>
      <c r="K13" s="3"/>
      <c r="AK13" s="13"/>
    </row>
    <row r="14" spans="1:37" ht="22.5" customHeight="1" x14ac:dyDescent="0.25">
      <c r="K14" s="3"/>
    </row>
    <row r="15" spans="1:37" ht="22.5" customHeight="1" x14ac:dyDescent="0.25">
      <c r="K15" s="3"/>
    </row>
    <row r="16" spans="1:37" ht="22.5" customHeight="1" x14ac:dyDescent="0.25">
      <c r="K16" s="3"/>
      <c r="M16" s="13"/>
    </row>
    <row r="17" spans="6:11" ht="22.5" customHeight="1" x14ac:dyDescent="0.25">
      <c r="K17" s="3"/>
    </row>
    <row r="18" spans="6:11" ht="22.5" customHeight="1" x14ac:dyDescent="0.25">
      <c r="K18" s="3"/>
    </row>
    <row r="19" spans="6:11" ht="22.5" customHeight="1" x14ac:dyDescent="0.25">
      <c r="K19" s="3"/>
    </row>
    <row r="20" spans="6:11" ht="22.5" customHeight="1" x14ac:dyDescent="0.25">
      <c r="F20" s="2">
        <v>10</v>
      </c>
      <c r="G20" s="3"/>
      <c r="H20" s="3"/>
      <c r="I20" s="3"/>
      <c r="J20" s="3"/>
      <c r="K20" s="3"/>
    </row>
    <row r="21" spans="6:11" ht="22.5" customHeight="1" x14ac:dyDescent="0.25">
      <c r="K21" s="3"/>
    </row>
    <row r="22" spans="6:11" ht="22.5" customHeight="1" x14ac:dyDescent="0.25">
      <c r="K22" s="3"/>
    </row>
  </sheetData>
  <customSheetViews>
    <customSheetView guid="{C6309BB7-B2E8-4642-A222-54A6C511AF08}">
      <selection activeCell="N14" sqref="N14"/>
      <pageMargins left="0.7" right="0.7" top="0.75" bottom="0.75" header="0.3" footer="0.3"/>
    </customSheetView>
    <customSheetView guid="{92AC4692-C364-41C6-9E9D-A0DA6796DF3C}">
      <selection activeCell="R6" sqref="R6"/>
      <pageMargins left="0.7" right="0.7" top="0.75" bottom="0.75" header="0.3" footer="0.3"/>
    </customSheetView>
  </customSheetViews>
  <mergeCells count="1">
    <mergeCell ref="AD7:AG8"/>
  </mergeCells>
  <hyperlinks>
    <hyperlink ref="AD7:AG8" location="Лист4!A1" display="Продолжить" xr:uid="{00000000-0004-0000-0100-000000000000}"/>
  </hyperlink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B2:P13"/>
  <sheetViews>
    <sheetView workbookViewId="0">
      <selection activeCell="G7" sqref="A1:XFD1048576"/>
    </sheetView>
  </sheetViews>
  <sheetFormatPr defaultColWidth="9.140625" defaultRowHeight="24" customHeight="1" x14ac:dyDescent="0.25"/>
  <cols>
    <col min="1" max="1" width="9.140625" style="26"/>
    <col min="2" max="2" width="5.140625" style="26" customWidth="1"/>
    <col min="3" max="3" width="28.7109375" style="26" customWidth="1"/>
    <col min="4" max="4" width="24.42578125" style="26" customWidth="1"/>
    <col min="5" max="5" width="10.42578125" style="26" customWidth="1"/>
    <col min="6" max="6" width="9.140625" style="26"/>
    <col min="7" max="7" width="10.140625" style="26" customWidth="1"/>
    <col min="8" max="16384" width="9.140625" style="26"/>
  </cols>
  <sheetData>
    <row r="2" spans="2:16" ht="24" customHeight="1" x14ac:dyDescent="0.25">
      <c r="C2" s="27" t="s">
        <v>3</v>
      </c>
      <c r="D2" s="27" t="s">
        <v>4</v>
      </c>
      <c r="E2" s="27" t="s">
        <v>5</v>
      </c>
    </row>
    <row r="3" spans="2:16" ht="24" customHeight="1" x14ac:dyDescent="0.25">
      <c r="B3" s="28">
        <v>1</v>
      </c>
      <c r="C3" s="29" t="s">
        <v>7</v>
      </c>
      <c r="D3" s="29" t="str">
        <f>CONCATENATE(Лист2!O2,Лист2!O3,Лист2!O4,Лист2!O5,Лист2!O6,Лист2!O7,Лист2!O8,Лист2!O9)</f>
        <v/>
      </c>
      <c r="E3" s="30">
        <f>IF(C3=D3,1,0)</f>
        <v>0</v>
      </c>
    </row>
    <row r="4" spans="2:16" ht="24" customHeight="1" x14ac:dyDescent="0.25">
      <c r="B4" s="28">
        <v>2</v>
      </c>
      <c r="C4" s="29" t="s">
        <v>8</v>
      </c>
      <c r="D4" s="29" t="str">
        <f>CONCATENATE(Лист2!M3,Лист2!M4,Лист2!M5,Лист2!M6,Лист2!M7,Лист2!M8)</f>
        <v/>
      </c>
      <c r="E4" s="30">
        <f t="shared" ref="E4:E8" si="0">IF(C4=D4,1,0)</f>
        <v>0</v>
      </c>
      <c r="K4" s="31"/>
    </row>
    <row r="5" spans="2:16" ht="24" customHeight="1" x14ac:dyDescent="0.35">
      <c r="B5" s="28">
        <v>3</v>
      </c>
      <c r="C5" s="29" t="s">
        <v>9</v>
      </c>
      <c r="D5" s="29" t="str">
        <f>CONCATENATE(Лист2!O4,Лист2!P4,Лист2!Q4,Лист2!R4,Лист2!S4)</f>
        <v/>
      </c>
      <c r="E5" s="30">
        <f t="shared" si="0"/>
        <v>0</v>
      </c>
      <c r="K5" s="31"/>
      <c r="L5" s="32"/>
      <c r="M5" s="32"/>
      <c r="N5" s="32"/>
      <c r="O5" s="32"/>
      <c r="P5" s="32"/>
    </row>
    <row r="6" spans="2:16" ht="24" customHeight="1" x14ac:dyDescent="0.25">
      <c r="B6" s="28">
        <v>4</v>
      </c>
      <c r="C6" s="29" t="s">
        <v>6</v>
      </c>
      <c r="D6" s="29" t="str">
        <f>CONCATENATE(Лист2!J5,Лист2!K5,Лист2!L5,Лист2!M5,Лист2!N5,Лист2!O5)</f>
        <v/>
      </c>
      <c r="E6" s="30">
        <f t="shared" si="0"/>
        <v>0</v>
      </c>
      <c r="K6" s="31"/>
    </row>
    <row r="7" spans="2:16" ht="24" customHeight="1" x14ac:dyDescent="0.25">
      <c r="B7" s="28">
        <v>5</v>
      </c>
      <c r="C7" s="29" t="s">
        <v>10</v>
      </c>
      <c r="D7" s="29" t="str">
        <f>CONCATENATE(Лист2!G6,Лист2!G7,Лист2!G8,Лист2!G9,Лист2!G10,Лист2!G11,Лист2!G12,Лист2!G13)</f>
        <v/>
      </c>
      <c r="E7" s="30">
        <f t="shared" si="0"/>
        <v>0</v>
      </c>
      <c r="K7" s="31"/>
    </row>
    <row r="8" spans="2:16" ht="24" customHeight="1" x14ac:dyDescent="0.25">
      <c r="B8" s="28">
        <v>6</v>
      </c>
      <c r="C8" s="29" t="s">
        <v>11</v>
      </c>
      <c r="D8" s="29" t="str">
        <f>CONCATENATE(Лист2!E8,Лист2!F8,Лист2!G8,Лист2!H8,Лист2!I8,Лист2!J8,Лист2!K8,Лист2!L8,Лист2!M8,Лист2!N8,Лист2!O8,Лист2!P8)</f>
        <v/>
      </c>
      <c r="E8" s="30">
        <f t="shared" si="0"/>
        <v>0</v>
      </c>
    </row>
    <row r="9" spans="2:16" ht="24" customHeight="1" x14ac:dyDescent="0.25">
      <c r="B9" s="28">
        <v>7</v>
      </c>
      <c r="C9" s="29" t="s">
        <v>12</v>
      </c>
      <c r="D9" s="29" t="str">
        <f>CONCATENATE(Лист2!B10,Лист2!C10,Лист2!D10,Лист2!E10,Лист2!F10,Лист2!G10,Лист2!H10)</f>
        <v/>
      </c>
      <c r="E9" s="30">
        <f t="shared" ref="E9:E12" si="1">IF(C9=D9,1,0)</f>
        <v>0</v>
      </c>
    </row>
    <row r="10" spans="2:16" ht="24" customHeight="1" x14ac:dyDescent="0.25">
      <c r="B10" s="28">
        <v>8</v>
      </c>
      <c r="C10" s="29" t="s">
        <v>13</v>
      </c>
      <c r="D10" s="29" t="str">
        <f>CONCATENATE(Лист2!C12,Лист2!D12,Лист2!E12,Лист2!F12,Лист2!G12,Лист2!H12,Лист2!I12,Лист2!J12,Лист2!K12,Лист2!L12,Лист2!M12,Лист2!N12,Лист2!O12,Лист2!P12,Лист2!Q12,Лист2!R12,Лист2!S12,Лист2!T12)</f>
        <v/>
      </c>
      <c r="E10" s="30">
        <f t="shared" si="1"/>
        <v>0</v>
      </c>
    </row>
    <row r="11" spans="2:16" ht="24" customHeight="1" x14ac:dyDescent="0.25">
      <c r="B11" s="28">
        <v>9</v>
      </c>
      <c r="C11" s="29" t="s">
        <v>14</v>
      </c>
      <c r="D11" s="29" t="str">
        <f>CONCATENATE(Лист2!K12,Лист2!K13,Лист2!K14,Лист2!K15,Лист2!K16,Лист2!K17,Лист2!K18,Лист2!K19,Лист2!K20,Лист2!K21,Лист2!K22)</f>
        <v/>
      </c>
      <c r="E11" s="30">
        <f t="shared" si="1"/>
        <v>0</v>
      </c>
    </row>
    <row r="12" spans="2:16" ht="24" customHeight="1" x14ac:dyDescent="0.25">
      <c r="B12" s="28">
        <v>10</v>
      </c>
      <c r="C12" s="29" t="s">
        <v>15</v>
      </c>
      <c r="D12" s="29" t="str">
        <f>CONCATENATE(Лист2!G20,Лист2!H20,Лист2!I20,Лист2!J20,Лист2!K20)</f>
        <v/>
      </c>
      <c r="E12" s="30">
        <f t="shared" si="1"/>
        <v>0</v>
      </c>
    </row>
    <row r="13" spans="2:16" ht="24" customHeight="1" x14ac:dyDescent="0.25">
      <c r="E13" s="33">
        <f>SUM(E3:E12)</f>
        <v>0</v>
      </c>
    </row>
  </sheetData>
  <customSheetViews>
    <customSheetView guid="{C6309BB7-B2E8-4642-A222-54A6C511AF08}">
      <selection activeCell="G3" sqref="G3"/>
      <pageMargins left="0.7" right="0.7" top="0.75" bottom="0.75" header="0.3" footer="0.3"/>
      <pageSetup paperSize="9" orientation="portrait" r:id="rId1"/>
    </customSheetView>
    <customSheetView guid="{92AC4692-C364-41C6-9E9D-A0DA6796DF3C}">
      <selection activeCell="G8" sqref="G8"/>
      <pageMargins left="0.7" right="0.7" top="0.75" bottom="0.75" header="0.3" footer="0.3"/>
      <pageSetup paperSize="9" orientation="portrait" r:id="rId2"/>
    </customSheetView>
  </customSheetViews>
  <mergeCells count="1">
    <mergeCell ref="L5:P5"/>
  </mergeCell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E3:I5"/>
  <sheetViews>
    <sheetView workbookViewId="0">
      <selection activeCell="R3" sqref="A1:XFD1048576"/>
    </sheetView>
  </sheetViews>
  <sheetFormatPr defaultColWidth="9.140625" defaultRowHeight="25.5" x14ac:dyDescent="0.35"/>
  <cols>
    <col min="1" max="7" width="9.140625" style="34"/>
    <col min="8" max="8" width="39.5703125" style="34" customWidth="1"/>
    <col min="9" max="9" width="23" style="34" customWidth="1"/>
    <col min="10" max="10" width="27.7109375" style="34" customWidth="1"/>
    <col min="11" max="16384" width="9.140625" style="34"/>
  </cols>
  <sheetData>
    <row r="3" spans="5:9" x14ac:dyDescent="0.35">
      <c r="H3" s="34" t="s">
        <v>16</v>
      </c>
    </row>
    <row r="4" spans="5:9" x14ac:dyDescent="0.35">
      <c r="E4" s="34" t="str">
        <f>CONCATENATE(F12,G12,H12,I12,J12)</f>
        <v/>
      </c>
    </row>
    <row r="5" spans="5:9" x14ac:dyDescent="0.35">
      <c r="H5" s="35" t="str">
        <f>CONCATENATE(Лист1!K8," ",Лист1!K9)</f>
        <v xml:space="preserve"> </v>
      </c>
      <c r="I5" s="35" t="str">
        <f>CONCATENATE(Лист3!E13," из 10")</f>
        <v>0 из 10</v>
      </c>
    </row>
  </sheetData>
  <customSheetViews>
    <customSheetView guid="{C6309BB7-B2E8-4642-A222-54A6C511AF08}">
      <selection activeCell="D14" sqref="D14"/>
      <pageMargins left="0.7" right="0.7" top="0.75" bottom="0.75" header="0.3" footer="0.3"/>
      <pageSetup paperSize="9" orientation="portrait" r:id="rId1"/>
    </customSheetView>
    <customSheetView guid="{92AC4692-C364-41C6-9E9D-A0DA6796DF3C}">
      <selection activeCell="E3" sqref="E3"/>
      <pageMargins left="0.7" right="0.7" top="0.75" bottom="0.75" header="0.3" footer="0.3"/>
      <pageSetup paperSize="9" orientation="portrait" r:id="rId2"/>
    </customSheetView>
  </customSheetView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фывфывфывфыв">
                <anchor moveWithCells="1">
                  <from>
                    <xdr:col>7</xdr:col>
                    <xdr:colOff>238125</xdr:colOff>
                    <xdr:row>8</xdr:row>
                    <xdr:rowOff>114300</xdr:rowOff>
                  </from>
                  <to>
                    <xdr:col>8</xdr:col>
                    <xdr:colOff>704850</xdr:colOff>
                    <xdr:row>11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Лист1</vt:lpstr>
      <vt:lpstr>Лист2</vt:lpstr>
      <vt:lpstr>Лист3</vt:lpstr>
      <vt:lpstr>Лист4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Артем Соловьев</dc:creator>
  <cp:lastModifiedBy>YADOLBAEB</cp:lastModifiedBy>
  <dcterms:created xsi:type="dcterms:W3CDTF">2025-06-01T16:06:36Z</dcterms:created>
  <dcterms:modified xsi:type="dcterms:W3CDTF">2025-06-05T22:34:52Z</dcterms:modified>
</cp:coreProperties>
</file>